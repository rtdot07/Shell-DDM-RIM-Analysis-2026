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tris\OneDrive\Desktop\"/>
    </mc:Choice>
  </mc:AlternateContent>
  <xr:revisionPtr revIDLastSave="0" documentId="13_ncr:1_{8FF45BA0-3895-4686-BC14-C43E6805A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vidend Discount Model" sheetId="1" r:id="rId1"/>
    <sheet name="Residual Income Model" sheetId="3" r:id="rId2"/>
    <sheet name="RIM Analysis Graph" sheetId="4" r:id="rId3"/>
  </sheets>
  <definedNames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'Dividend Discount Model'!$J$9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28.48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M14" i="3"/>
  <c r="B13" i="3"/>
  <c r="M7" i="3"/>
  <c r="L7" i="3"/>
  <c r="K7" i="3"/>
  <c r="J7" i="3"/>
  <c r="I7" i="3"/>
  <c r="H7" i="3"/>
  <c r="H10" i="3" s="1"/>
  <c r="G7" i="3"/>
  <c r="G10" i="3" s="1"/>
  <c r="F7" i="3"/>
  <c r="F10" i="3" s="1"/>
  <c r="E7" i="3"/>
  <c r="E10" i="3" s="1"/>
  <c r="E13" i="3" s="1"/>
  <c r="D7" i="3"/>
  <c r="D10" i="3" s="1"/>
  <c r="D13" i="3" s="1"/>
  <c r="B7" i="3"/>
  <c r="B10" i="3" s="1"/>
  <c r="C7" i="3"/>
  <c r="C10" i="3" s="1"/>
  <c r="C13" i="3" s="1"/>
  <c r="M5" i="3"/>
  <c r="L5" i="3"/>
  <c r="K5" i="3"/>
  <c r="J5" i="3"/>
  <c r="I5" i="3"/>
  <c r="H5" i="3"/>
  <c r="G5" i="3"/>
  <c r="F5" i="3"/>
  <c r="E5" i="3"/>
  <c r="D5" i="3"/>
  <c r="C5" i="3"/>
  <c r="B5" i="3"/>
  <c r="F13" i="1"/>
  <c r="M12" i="3"/>
  <c r="L12" i="3"/>
  <c r="K12" i="3"/>
  <c r="J12" i="3"/>
  <c r="I12" i="3"/>
  <c r="H12" i="3"/>
  <c r="G12" i="3"/>
  <c r="F12" i="3"/>
  <c r="F13" i="3" s="1"/>
  <c r="E12" i="3"/>
  <c r="D12" i="3"/>
  <c r="C12" i="3"/>
  <c r="B12" i="3"/>
  <c r="G13" i="3" l="1"/>
  <c r="H13" i="3"/>
  <c r="H15" i="3"/>
  <c r="G15" i="3"/>
  <c r="C15" i="3"/>
  <c r="B15" i="3"/>
  <c r="D15" i="3"/>
  <c r="E15" i="3"/>
  <c r="F15" i="3"/>
  <c r="I10" i="3" l="1"/>
  <c r="I13" i="3" l="1"/>
  <c r="I15" i="3" s="1"/>
  <c r="J10" i="3"/>
  <c r="J13" i="3" l="1"/>
  <c r="J15" i="3" s="1"/>
  <c r="K10" i="3"/>
  <c r="K13" i="3" l="1"/>
  <c r="K15" i="3" s="1"/>
  <c r="M10" i="3"/>
  <c r="L10" i="3"/>
  <c r="E5" i="1"/>
  <c r="E37" i="1"/>
  <c r="E33" i="1"/>
  <c r="E29" i="1"/>
  <c r="E25" i="1"/>
  <c r="E21" i="1"/>
  <c r="E17" i="1"/>
  <c r="E13" i="1"/>
  <c r="E9" i="1"/>
  <c r="M13" i="3" l="1"/>
  <c r="M15" i="3" s="1"/>
  <c r="L13" i="3"/>
  <c r="L15" i="3" s="1"/>
  <c r="J9" i="1"/>
  <c r="F9" i="1"/>
  <c r="F21" i="1"/>
  <c r="F33" i="1"/>
  <c r="F25" i="1"/>
  <c r="F29" i="1"/>
  <c r="F17" i="1"/>
  <c r="B18" i="3" l="1"/>
  <c r="B20" i="3" s="1"/>
  <c r="B22" i="3" s="1"/>
  <c r="J10" i="1"/>
</calcChain>
</file>

<file path=xl/sharedStrings.xml><?xml version="1.0" encoding="utf-8"?>
<sst xmlns="http://schemas.openxmlformats.org/spreadsheetml/2006/main" count="116" uniqueCount="83">
  <si>
    <t>SHELL PLC</t>
  </si>
  <si>
    <t>DIVIDEND DISCOUNT MODEL(DDM)</t>
  </si>
  <si>
    <t>Year</t>
  </si>
  <si>
    <t>Quarterly Dividend</t>
  </si>
  <si>
    <t>Growth (g)</t>
  </si>
  <si>
    <t>Required Return (r)</t>
  </si>
  <si>
    <t>Actual Price</t>
  </si>
  <si>
    <t>DDM Price</t>
  </si>
  <si>
    <t>Overvalued or Undervalued</t>
  </si>
  <si>
    <t>Q1</t>
  </si>
  <si>
    <t>Q2</t>
  </si>
  <si>
    <t>Q3</t>
  </si>
  <si>
    <t>Q4</t>
  </si>
  <si>
    <t>Nan</t>
  </si>
  <si>
    <t>at the same rate as they have in the past.</t>
  </si>
  <si>
    <t xml:space="preserve">Here we would be making an assumption that the dividends will grow </t>
  </si>
  <si>
    <t>𝑟𝑒=𝑟𝑓+𝛽×(Equity Risk Premium)</t>
  </si>
  <si>
    <t>Price = D1 / (r-g)</t>
  </si>
  <si>
    <t>Annual</t>
  </si>
  <si>
    <t>Annual Growth</t>
  </si>
  <si>
    <t>Residual Income Model</t>
  </si>
  <si>
    <t>Q4(E)</t>
  </si>
  <si>
    <t>Q1(E)</t>
  </si>
  <si>
    <t>Q3(E)</t>
  </si>
  <si>
    <t>Q2(E)</t>
  </si>
  <si>
    <t>I have used past 7 years of dividend to forcast 2026 dividend</t>
  </si>
  <si>
    <t>Outcome</t>
  </si>
  <si>
    <t>Dividends source: https://www.shell.com/investors/dividend-information/dividend-announcements.html</t>
  </si>
  <si>
    <t>Terminal Value</t>
  </si>
  <si>
    <t>Terminal growth (g) = b × ROE (terminal)</t>
  </si>
  <si>
    <t>CAPM gives 8.89%–9.25%; I use 9.0% as a rounded central estimate.</t>
  </si>
  <si>
    <t>£19.33</t>
  </si>
  <si>
    <t>DDM Value</t>
  </si>
  <si>
    <t>Historical growth is volatile due to the 2020 cut and recovery</t>
  </si>
  <si>
    <t>2020A</t>
  </si>
  <si>
    <t>2021A</t>
  </si>
  <si>
    <t>2022A</t>
  </si>
  <si>
    <t>2023A</t>
  </si>
  <si>
    <t>2024A</t>
  </si>
  <si>
    <t>Revenue</t>
  </si>
  <si>
    <t>Operating Income (EBIT)</t>
  </si>
  <si>
    <t>EBIT margin</t>
  </si>
  <si>
    <t>Tax Rate</t>
  </si>
  <si>
    <t>NOPAT</t>
  </si>
  <si>
    <t>Present Value of Residual Income</t>
  </si>
  <si>
    <t>Book value of Equity</t>
  </si>
  <si>
    <t>Value of Firm (PV of Residual Income + BV of the equity)</t>
  </si>
  <si>
    <t>Implied Price per share</t>
  </si>
  <si>
    <t>Current Share Price</t>
  </si>
  <si>
    <t>Buy</t>
  </si>
  <si>
    <t>(After-tax interest expense)</t>
  </si>
  <si>
    <t>After-tax non-operating gains/losses</t>
  </si>
  <si>
    <t>Net Income</t>
  </si>
  <si>
    <t>Capital Employed (Equity)</t>
  </si>
  <si>
    <t>Capital Charged (Required return on equity)</t>
  </si>
  <si>
    <t>Discount Factor (Required return on equity)</t>
  </si>
  <si>
    <t>Particulars</t>
  </si>
  <si>
    <t>Rationale</t>
  </si>
  <si>
    <t>Residual Income (Net Income-Capital Charged)</t>
  </si>
  <si>
    <t>I use 4% as a  perpetual growth rate (stable-state), not the historical average.</t>
  </si>
  <si>
    <t>if we take 9% r then the stock is around 5.28 pounds overvalued as per DDM</t>
  </si>
  <si>
    <t>Number of Shares Outstanding (Billion)</t>
  </si>
  <si>
    <t>Recorded on 15th December</t>
  </si>
  <si>
    <t>g=0.4614×0.085=0.0392≈3.92% , therefore I took 4%</t>
  </si>
  <si>
    <t>0.75 GBP</t>
  </si>
  <si>
    <t>$1 USD =</t>
  </si>
  <si>
    <t>Total Market Value of Equity</t>
  </si>
  <si>
    <t>Recorded 4th Dec</t>
  </si>
  <si>
    <t>£29.00</t>
  </si>
  <si>
    <t>£23.2</t>
  </si>
  <si>
    <t>Undervalued</t>
  </si>
  <si>
    <t>Overvalued</t>
  </si>
  <si>
    <t>Sell</t>
  </si>
  <si>
    <t>Base Case</t>
  </si>
  <si>
    <t>High Required Return</t>
  </si>
  <si>
    <t>Low Required Return</t>
  </si>
  <si>
    <t>Assumption Set</t>
  </si>
  <si>
    <t>Annual Dividend (D1, £)</t>
  </si>
  <si>
    <t>Perpetual Growth (g)</t>
  </si>
  <si>
    <t>Here for rf, it is between 4.4 to 4.5%, taking 4.5% : https://markets.ft.com/data/bonds/tearsheet/summary?s=UK10YG</t>
  </si>
  <si>
    <t>Here for B, taking 1.09  : https://www.fidelity.co.uk/factsheet-data/factsheet/GB00BP6MXD84-shell-plc/key-statistics</t>
  </si>
  <si>
    <t>Here for equity risk premium, ERP in the 4–5 percent range: https://pages.stern.nyu.edu/~adamodar/New_Home_Page/datacurrent.html</t>
  </si>
  <si>
    <t>Residual Income Model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</si>
</sst>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GBP]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b/>
      <sz val="10"/>
      <color rgb="FF000000"/>
      <name val="Arial"/>
      <family val="2"/>
    </font>
    <font>
      <b/>
      <sz val="15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ptos Narrow"/>
      <family val="2"/>
    </font>
    <font>
      <b/>
      <u/>
      <sz val="16"/>
      <color theme="4" tint="-0.499984740745262"/>
      <name val="Aptos Narrow"/>
      <family val="2"/>
    </font>
    <font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7" xfId="0" applyFont="1" applyBorder="1"/>
    <xf numFmtId="0" fontId="0" fillId="0" borderId="11" xfId="0" applyBorder="1"/>
    <xf numFmtId="0" fontId="3" fillId="0" borderId="8" xfId="0" applyFon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7" fillId="0" borderId="9" xfId="0" applyFont="1" applyBorder="1"/>
    <xf numFmtId="0" fontId="7" fillId="0" borderId="2" xfId="0" applyFont="1" applyBorder="1"/>
    <xf numFmtId="164" fontId="0" fillId="0" borderId="2" xfId="0" applyNumberFormat="1" applyBorder="1"/>
    <xf numFmtId="0" fontId="0" fillId="0" borderId="10" xfId="0" applyBorder="1" applyAlignment="1">
      <alignment horizontal="left" indent="4"/>
    </xf>
    <xf numFmtId="10" fontId="0" fillId="0" borderId="11" xfId="0" applyNumberFormat="1" applyBorder="1"/>
    <xf numFmtId="0" fontId="0" fillId="0" borderId="0" xfId="0" applyAlignment="1">
      <alignment vertical="center" readingOrder="1"/>
    </xf>
    <xf numFmtId="0" fontId="6" fillId="0" borderId="1" xfId="0" applyFont="1" applyBorder="1"/>
    <xf numFmtId="0" fontId="6" fillId="0" borderId="2" xfId="0" applyFont="1" applyBorder="1"/>
    <xf numFmtId="0" fontId="6" fillId="0" borderId="11" xfId="0" applyFont="1" applyBorder="1"/>
    <xf numFmtId="0" fontId="6" fillId="0" borderId="3" xfId="0" applyFont="1" applyBorder="1"/>
    <xf numFmtId="10" fontId="9" fillId="0" borderId="3" xfId="0" applyNumberFormat="1" applyFont="1" applyBorder="1"/>
    <xf numFmtId="0" fontId="11" fillId="0" borderId="0" xfId="0" applyFont="1"/>
    <xf numFmtId="0" fontId="3" fillId="0" borderId="0" xfId="0" applyFont="1"/>
    <xf numFmtId="0" fontId="3" fillId="0" borderId="11" xfId="0" applyFont="1" applyBorder="1"/>
    <xf numFmtId="164" fontId="3" fillId="0" borderId="3" xfId="0" applyNumberFormat="1" applyFont="1" applyBorder="1"/>
    <xf numFmtId="0" fontId="3" fillId="0" borderId="11" xfId="1" applyNumberFormat="1" applyFont="1" applyBorder="1"/>
    <xf numFmtId="164" fontId="3" fillId="0" borderId="11" xfId="0" applyNumberFormat="1" applyFont="1" applyBorder="1"/>
    <xf numFmtId="164" fontId="3" fillId="4" borderId="11" xfId="0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10" fontId="0" fillId="0" borderId="9" xfId="0" applyNumberForma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2" fillId="0" borderId="0" xfId="0" applyFont="1"/>
    <xf numFmtId="10" fontId="3" fillId="0" borderId="0" xfId="0" applyNumberFormat="1" applyFont="1" applyAlignment="1">
      <alignment horizontal="right" vertical="center" wrapText="1"/>
    </xf>
    <xf numFmtId="10" fontId="3" fillId="0" borderId="9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8" fillId="0" borderId="0" xfId="0" applyFont="1"/>
    <xf numFmtId="0" fontId="14" fillId="0" borderId="0" xfId="0" applyFont="1"/>
    <xf numFmtId="0" fontId="18" fillId="5" borderId="0" xfId="0" applyFont="1" applyFill="1" applyAlignment="1">
      <alignment horizontal="right"/>
    </xf>
    <xf numFmtId="0" fontId="19" fillId="3" borderId="10" xfId="0" applyFont="1" applyFill="1" applyBorder="1"/>
    <xf numFmtId="2" fontId="18" fillId="5" borderId="0" xfId="0" applyNumberFormat="1" applyFont="1" applyFill="1" applyAlignment="1">
      <alignment horizontal="right"/>
    </xf>
    <xf numFmtId="0" fontId="16" fillId="0" borderId="14" xfId="0" applyFont="1" applyBorder="1"/>
    <xf numFmtId="0" fontId="16" fillId="0" borderId="15" xfId="0" applyFont="1" applyBorder="1"/>
    <xf numFmtId="0" fontId="0" fillId="0" borderId="15" xfId="0" applyBorder="1"/>
    <xf numFmtId="0" fontId="17" fillId="0" borderId="15" xfId="0" applyFont="1" applyBorder="1"/>
    <xf numFmtId="0" fontId="16" fillId="0" borderId="16" xfId="0" applyFont="1" applyBorder="1"/>
    <xf numFmtId="0" fontId="15" fillId="0" borderId="13" xfId="0" applyFont="1" applyBorder="1"/>
    <xf numFmtId="0" fontId="16" fillId="0" borderId="1" xfId="0" applyFont="1" applyBorder="1"/>
    <xf numFmtId="0" fontId="21" fillId="0" borderId="7" xfId="0" applyFont="1" applyBorder="1"/>
    <xf numFmtId="0" fontId="16" fillId="0" borderId="7" xfId="0" applyFont="1" applyBorder="1"/>
    <xf numFmtId="0" fontId="15" fillId="0" borderId="0" xfId="0" applyFont="1"/>
    <xf numFmtId="10" fontId="15" fillId="0" borderId="7" xfId="0" applyNumberFormat="1" applyFont="1" applyBorder="1"/>
    <xf numFmtId="10" fontId="15" fillId="0" borderId="0" xfId="0" applyNumberFormat="1" applyFont="1"/>
    <xf numFmtId="10" fontId="15" fillId="0" borderId="11" xfId="0" applyNumberFormat="1" applyFont="1" applyBorder="1"/>
    <xf numFmtId="2" fontId="0" fillId="0" borderId="0" xfId="0" applyNumberFormat="1"/>
    <xf numFmtId="2" fontId="18" fillId="5" borderId="7" xfId="0" applyNumberFormat="1" applyFont="1" applyFill="1" applyBorder="1" applyAlignment="1">
      <alignment horizontal="right"/>
    </xf>
    <xf numFmtId="2" fontId="18" fillId="5" borderId="11" xfId="0" applyNumberFormat="1" applyFont="1" applyFill="1" applyBorder="1" applyAlignment="1">
      <alignment horizontal="right"/>
    </xf>
    <xf numFmtId="2" fontId="0" fillId="0" borderId="11" xfId="0" applyNumberFormat="1" applyBorder="1"/>
    <xf numFmtId="1" fontId="0" fillId="0" borderId="7" xfId="0" applyNumberFormat="1" applyBorder="1"/>
    <xf numFmtId="1" fontId="0" fillId="0" borderId="0" xfId="0" applyNumberFormat="1"/>
    <xf numFmtId="1" fontId="0" fillId="0" borderId="11" xfId="0" applyNumberFormat="1" applyBorder="1"/>
    <xf numFmtId="0" fontId="0" fillId="0" borderId="10" xfId="0" applyBorder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3" fontId="15" fillId="0" borderId="2" xfId="0" applyNumberFormat="1" applyFont="1" applyBorder="1"/>
    <xf numFmtId="0" fontId="0" fillId="0" borderId="3" xfId="0" applyBorder="1"/>
    <xf numFmtId="4" fontId="15" fillId="0" borderId="0" xfId="0" applyNumberFormat="1" applyFont="1"/>
    <xf numFmtId="4" fontId="15" fillId="0" borderId="7" xfId="0" applyNumberFormat="1" applyFont="1" applyBorder="1"/>
    <xf numFmtId="3" fontId="0" fillId="0" borderId="14" xfId="0" applyNumberFormat="1" applyBorder="1"/>
    <xf numFmtId="3" fontId="0" fillId="0" borderId="15" xfId="0" applyNumberFormat="1" applyBorder="1"/>
    <xf numFmtId="0" fontId="3" fillId="0" borderId="0" xfId="1" applyNumberFormat="1" applyFont="1" applyBorder="1"/>
    <xf numFmtId="0" fontId="3" fillId="0" borderId="3" xfId="0" applyFont="1" applyBorder="1"/>
    <xf numFmtId="0" fontId="3" fillId="0" borderId="14" xfId="0" applyFont="1" applyBorder="1"/>
    <xf numFmtId="0" fontId="3" fillId="0" borderId="15" xfId="0" applyFont="1" applyBorder="1"/>
    <xf numFmtId="0" fontId="0" fillId="0" borderId="16" xfId="0" applyBorder="1"/>
    <xf numFmtId="0" fontId="3" fillId="0" borderId="16" xfId="0" applyFont="1" applyBorder="1"/>
    <xf numFmtId="0" fontId="20" fillId="0" borderId="12" xfId="0" applyFont="1" applyBorder="1"/>
    <xf numFmtId="0" fontId="22" fillId="7" borderId="0" xfId="0" applyFont="1" applyFill="1"/>
    <xf numFmtId="0" fontId="3" fillId="6" borderId="0" xfId="0" applyFont="1" applyFill="1"/>
    <xf numFmtId="0" fontId="3" fillId="3" borderId="0" xfId="0" applyFont="1" applyFill="1"/>
    <xf numFmtId="0" fontId="7" fillId="0" borderId="0" xfId="0" applyFont="1"/>
    <xf numFmtId="164" fontId="0" fillId="0" borderId="0" xfId="0" applyNumberFormat="1"/>
    <xf numFmtId="0" fontId="6" fillId="0" borderId="0" xfId="0" applyFont="1"/>
    <xf numFmtId="10" fontId="3" fillId="0" borderId="11" xfId="0" applyNumberFormat="1" applyFont="1" applyBorder="1"/>
    <xf numFmtId="10" fontId="3" fillId="0" borderId="11" xfId="0" applyNumberFormat="1" applyFont="1" applyBorder="1" applyAlignment="1">
      <alignment horizontal="left" indent="5"/>
    </xf>
    <xf numFmtId="0" fontId="6" fillId="0" borderId="7" xfId="0" applyFont="1" applyBorder="1"/>
    <xf numFmtId="164" fontId="3" fillId="0" borderId="2" xfId="0" applyNumberFormat="1" applyFont="1" applyBorder="1"/>
    <xf numFmtId="164" fontId="3" fillId="0" borderId="0" xfId="0" applyNumberFormat="1" applyFont="1"/>
    <xf numFmtId="0" fontId="3" fillId="0" borderId="9" xfId="0" applyFont="1" applyBorder="1"/>
    <xf numFmtId="0" fontId="3" fillId="0" borderId="10" xfId="0" applyFont="1" applyBorder="1"/>
    <xf numFmtId="0" fontId="3" fillId="8" borderId="12" xfId="0" applyFont="1" applyFill="1" applyBorder="1"/>
    <xf numFmtId="0" fontId="12" fillId="6" borderId="12" xfId="0" applyFont="1" applyFill="1" applyBorder="1"/>
    <xf numFmtId="0" fontId="3" fillId="3" borderId="12" xfId="0" applyFont="1" applyFill="1" applyBorder="1"/>
    <xf numFmtId="0" fontId="0" fillId="0" borderId="12" xfId="0" applyBorder="1"/>
    <xf numFmtId="0" fontId="0" fillId="0" borderId="14" xfId="0" applyBorder="1"/>
    <xf numFmtId="0" fontId="6" fillId="0" borderId="14" xfId="0" applyFont="1" applyBorder="1"/>
    <xf numFmtId="0" fontId="19" fillId="8" borderId="12" xfId="0" applyFont="1" applyFill="1" applyBorder="1"/>
    <xf numFmtId="0" fontId="3" fillId="0" borderId="10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3" fillId="9" borderId="0" xfId="0" applyFont="1" applyFill="1" applyBorder="1" applyAlignment="1">
      <alignment horizontal="center"/>
    </xf>
    <xf numFmtId="0" fontId="23" fillId="9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21</xdr:row>
      <xdr:rowOff>0</xdr:rowOff>
    </xdr:from>
    <xdr:to>
      <xdr:col>12</xdr:col>
      <xdr:colOff>7620</xdr:colOff>
      <xdr:row>21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D3518-497D-B565-F690-2258E22CF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9740" y="32994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2359269</xdr:colOff>
      <xdr:row>7</xdr:row>
      <xdr:rowOff>175846</xdr:rowOff>
    </xdr:from>
    <xdr:to>
      <xdr:col>19</xdr:col>
      <xdr:colOff>219808</xdr:colOff>
      <xdr:row>32</xdr:row>
      <xdr:rowOff>38882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893DF1-988F-6744-0013-6C93C78F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47423" y="2051538"/>
          <a:ext cx="8411308" cy="5724575"/>
        </a:xfrm>
        <a:prstGeom prst="rect">
          <a:avLst/>
        </a:prstGeom>
      </xdr:spPr>
    </xdr:pic>
    <xdr:clientData/>
  </xdr:twoCellAnchor>
  <xdr:twoCellAnchor>
    <xdr:from>
      <xdr:col>11</xdr:col>
      <xdr:colOff>175846</xdr:colOff>
      <xdr:row>18</xdr:row>
      <xdr:rowOff>0</xdr:rowOff>
    </xdr:from>
    <xdr:to>
      <xdr:col>12</xdr:col>
      <xdr:colOff>3326423</xdr:colOff>
      <xdr:row>24</xdr:row>
      <xdr:rowOff>0</xdr:rowOff>
    </xdr:to>
    <xdr:sp macro="" textlink="">
      <xdr:nvSpPr>
        <xdr:cNvPr id="9" name="Arrow: Curved Up 8">
          <a:extLst>
            <a:ext uri="{FF2B5EF4-FFF2-40B4-BE49-F238E27FC236}">
              <a16:creationId xmlns:a16="http://schemas.microsoft.com/office/drawing/2014/main" id="{FB5532AA-7307-D421-303E-DF1D1CD84876}"/>
            </a:ext>
          </a:extLst>
        </xdr:cNvPr>
        <xdr:cNvSpPr/>
      </xdr:nvSpPr>
      <xdr:spPr>
        <a:xfrm>
          <a:off x="15430500" y="4454769"/>
          <a:ext cx="4484077" cy="1406769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7618</xdr:colOff>
      <xdr:row>2</xdr:row>
      <xdr:rowOff>7620</xdr:rowOff>
    </xdr:from>
    <xdr:to>
      <xdr:col>18</xdr:col>
      <xdr:colOff>601979</xdr:colOff>
      <xdr:row>19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F0DB85-E180-2BD0-7A2E-B3073D1B4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800" y="388620"/>
          <a:ext cx="6101543" cy="3311929"/>
        </a:xfrm>
        <a:prstGeom prst="rect">
          <a:avLst/>
        </a:prstGeom>
      </xdr:spPr>
    </xdr:pic>
    <xdr:clientData/>
  </xdr:twoCellAnchor>
  <xdr:twoCellAnchor editAs="oneCell">
    <xdr:from>
      <xdr:col>8</xdr:col>
      <xdr:colOff>22857</xdr:colOff>
      <xdr:row>20</xdr:row>
      <xdr:rowOff>13335</xdr:rowOff>
    </xdr:from>
    <xdr:to>
      <xdr:col>18</xdr:col>
      <xdr:colOff>588818</xdr:colOff>
      <xdr:row>40</xdr:row>
      <xdr:rowOff>184727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9D7885-A681-7212-BDDB-F9DC3C1F6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130" y="3742517"/>
          <a:ext cx="6685052" cy="3877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22860</xdr:rowOff>
    </xdr:from>
    <xdr:to>
      <xdr:col>8</xdr:col>
      <xdr:colOff>601980</xdr:colOff>
      <xdr:row>19</xdr:row>
      <xdr:rowOff>175260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874646-15E2-1291-EF38-B1C26E04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6240"/>
          <a:ext cx="5478780" cy="3268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61653</xdr:rowOff>
    </xdr:from>
    <xdr:to>
      <xdr:col>7</xdr:col>
      <xdr:colOff>600362</xdr:colOff>
      <xdr:row>42</xdr:row>
      <xdr:rowOff>38209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44B4849-93C4-2426-0C71-43F0405E1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790835"/>
          <a:ext cx="4883726" cy="4075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0"/>
  <sheetViews>
    <sheetView tabSelected="1" zoomScale="50" zoomScaleNormal="50" workbookViewId="0">
      <selection activeCell="H22" sqref="H22"/>
    </sheetView>
  </sheetViews>
  <sheetFormatPr defaultRowHeight="14.4" x14ac:dyDescent="0.3"/>
  <cols>
    <col min="4" max="4" width="21.6640625" bestFit="1" customWidth="1"/>
    <col min="5" max="5" width="22.77734375" customWidth="1"/>
    <col min="6" max="6" width="20.44140625" customWidth="1"/>
    <col min="8" max="8" width="55.33203125" customWidth="1"/>
    <col min="9" max="9" width="35.21875" customWidth="1"/>
    <col min="10" max="10" width="26.88671875" customWidth="1"/>
    <col min="11" max="11" width="24" customWidth="1"/>
    <col min="12" max="12" width="19.44140625" customWidth="1"/>
    <col min="13" max="13" width="49.77734375" customWidth="1"/>
    <col min="14" max="14" width="21" bestFit="1" customWidth="1"/>
    <col min="15" max="15" width="18.6640625" bestFit="1" customWidth="1"/>
    <col min="16" max="16" width="16.77734375" bestFit="1" customWidth="1"/>
    <col min="17" max="17" width="29.77734375" bestFit="1" customWidth="1"/>
  </cols>
  <sheetData>
    <row r="1" spans="2:16" ht="34.799999999999997" customHeight="1" thickBot="1" x14ac:dyDescent="0.7">
      <c r="B1" s="105" t="s">
        <v>1</v>
      </c>
      <c r="C1" s="106"/>
      <c r="D1" s="106"/>
      <c r="E1" s="106"/>
      <c r="F1" s="106"/>
      <c r="G1" s="106"/>
      <c r="H1" s="106"/>
      <c r="I1" s="107"/>
    </row>
    <row r="2" spans="2:16" ht="24" thickBot="1" x14ac:dyDescent="0.5">
      <c r="B2" s="108" t="s">
        <v>0</v>
      </c>
      <c r="C2" s="109"/>
      <c r="D2" s="109"/>
      <c r="E2" s="109"/>
      <c r="F2" s="109"/>
      <c r="G2" s="109"/>
      <c r="H2" s="109"/>
      <c r="I2" s="110"/>
    </row>
    <row r="3" spans="2:16" ht="15" thickBot="1" x14ac:dyDescent="0.35"/>
    <row r="4" spans="2:16" ht="18.600000000000001" customHeight="1" thickBot="1" x14ac:dyDescent="0.4">
      <c r="B4" s="13" t="s">
        <v>2</v>
      </c>
      <c r="C4" s="14"/>
      <c r="D4" s="14" t="s">
        <v>3</v>
      </c>
      <c r="E4" s="14" t="s">
        <v>18</v>
      </c>
      <c r="F4" s="16" t="s">
        <v>19</v>
      </c>
      <c r="I4" s="78" t="s">
        <v>4</v>
      </c>
      <c r="J4" s="21">
        <v>0.04</v>
      </c>
      <c r="L4" s="40" t="s">
        <v>59</v>
      </c>
      <c r="M4" s="34"/>
      <c r="N4" s="34"/>
      <c r="O4" s="34"/>
    </row>
    <row r="5" spans="2:16" ht="18.600000000000001" customHeight="1" x14ac:dyDescent="0.35">
      <c r="B5" s="13">
        <v>2026</v>
      </c>
      <c r="C5" s="8" t="s">
        <v>22</v>
      </c>
      <c r="D5" s="9">
        <v>0.28999999999999998</v>
      </c>
      <c r="E5" s="92">
        <f>SUM(D5:D8)</f>
        <v>1.1599999999999999</v>
      </c>
      <c r="F5" s="17" t="s">
        <v>25</v>
      </c>
      <c r="I5" s="79" t="s">
        <v>5</v>
      </c>
      <c r="J5" s="22">
        <v>0.09</v>
      </c>
      <c r="L5" s="40" t="s">
        <v>33</v>
      </c>
    </row>
    <row r="6" spans="2:16" ht="18.600000000000001" customHeight="1" x14ac:dyDescent="0.35">
      <c r="B6" s="91"/>
      <c r="C6" s="86" t="s">
        <v>24</v>
      </c>
      <c r="D6" s="87">
        <v>0.28999999999999998</v>
      </c>
      <c r="E6" s="88"/>
      <c r="F6" s="15"/>
      <c r="I6" s="79"/>
      <c r="J6" s="20"/>
      <c r="L6" s="40"/>
    </row>
    <row r="7" spans="2:16" ht="18.600000000000001" customHeight="1" x14ac:dyDescent="0.35">
      <c r="B7" s="91"/>
      <c r="C7" s="86" t="s">
        <v>23</v>
      </c>
      <c r="D7" s="87">
        <v>0.28999999999999998</v>
      </c>
      <c r="E7" s="88"/>
      <c r="F7" s="15"/>
      <c r="I7" s="79" t="s">
        <v>6</v>
      </c>
      <c r="J7" s="23">
        <v>28.48</v>
      </c>
      <c r="K7" s="19" t="s">
        <v>67</v>
      </c>
      <c r="L7" s="40" t="s">
        <v>15</v>
      </c>
      <c r="N7" s="39"/>
      <c r="O7" s="39"/>
      <c r="P7" s="39"/>
    </row>
    <row r="8" spans="2:16" ht="18.600000000000001" customHeight="1" thickBot="1" x14ac:dyDescent="0.4">
      <c r="B8" s="91"/>
      <c r="C8" s="86" t="s">
        <v>21</v>
      </c>
      <c r="D8" s="87">
        <v>0.28999999999999998</v>
      </c>
      <c r="E8" s="88"/>
      <c r="F8" s="15"/>
      <c r="I8" s="79"/>
      <c r="J8" s="20"/>
      <c r="L8" s="40" t="s">
        <v>14</v>
      </c>
      <c r="N8" s="39"/>
      <c r="O8" s="39"/>
      <c r="P8" s="39"/>
    </row>
    <row r="9" spans="2:16" ht="18.600000000000001" customHeight="1" thickBot="1" x14ac:dyDescent="0.4">
      <c r="B9" s="91">
        <v>2025</v>
      </c>
      <c r="C9" s="86" t="s">
        <v>9</v>
      </c>
      <c r="D9" s="87">
        <v>0.27</v>
      </c>
      <c r="E9" s="93">
        <f>SUM(D9:D12)</f>
        <v>1.1300000000000001</v>
      </c>
      <c r="F9" s="89">
        <f>(E9-E13)/E13</f>
        <v>7.6190476190476253E-2</v>
      </c>
      <c r="I9" s="79" t="s">
        <v>7</v>
      </c>
      <c r="J9" s="24">
        <f>E5/(J5-J4)</f>
        <v>23.2</v>
      </c>
      <c r="K9" s="101" t="s">
        <v>17</v>
      </c>
    </row>
    <row r="10" spans="2:16" ht="18.600000000000001" customHeight="1" thickBot="1" x14ac:dyDescent="0.45">
      <c r="B10" s="91"/>
      <c r="C10" s="86" t="s">
        <v>10</v>
      </c>
      <c r="D10" s="87">
        <v>0.27</v>
      </c>
      <c r="E10" s="88"/>
      <c r="F10" s="15"/>
      <c r="I10" s="81" t="s">
        <v>8</v>
      </c>
      <c r="J10" s="42" t="str">
        <f>IF(J9&gt;J7,"Undervalued","Overvalued")</f>
        <v>Overvalued</v>
      </c>
      <c r="K10" s="102" t="s">
        <v>72</v>
      </c>
    </row>
    <row r="11" spans="2:16" ht="18.600000000000001" customHeight="1" x14ac:dyDescent="0.35">
      <c r="B11" s="91"/>
      <c r="C11" s="86" t="s">
        <v>11</v>
      </c>
      <c r="D11" s="87">
        <v>0.27</v>
      </c>
      <c r="E11" s="88"/>
      <c r="F11" s="15"/>
    </row>
    <row r="12" spans="2:16" ht="18.600000000000001" customHeight="1" x14ac:dyDescent="0.35">
      <c r="B12" s="91"/>
      <c r="C12" s="86" t="s">
        <v>21</v>
      </c>
      <c r="D12" s="87">
        <v>0.32</v>
      </c>
      <c r="E12" s="88"/>
      <c r="F12" s="15"/>
      <c r="I12" s="114" t="s">
        <v>60</v>
      </c>
      <c r="J12" s="114"/>
      <c r="K12" s="114"/>
      <c r="L12" s="114"/>
    </row>
    <row r="13" spans="2:16" ht="18.600000000000001" customHeight="1" x14ac:dyDescent="0.35">
      <c r="B13" s="91">
        <v>2024</v>
      </c>
      <c r="C13" s="86" t="s">
        <v>9</v>
      </c>
      <c r="D13" s="87">
        <v>0.26</v>
      </c>
      <c r="E13" s="93">
        <f>SUM(D13:D16)</f>
        <v>1.05</v>
      </c>
      <c r="F13" s="89">
        <f>(E13-E17)/E17</f>
        <v>7.1428571428571494E-2</v>
      </c>
    </row>
    <row r="14" spans="2:16" ht="18.600000000000001" customHeight="1" thickBot="1" x14ac:dyDescent="0.4">
      <c r="B14" s="91"/>
      <c r="C14" s="86" t="s">
        <v>10</v>
      </c>
      <c r="D14" s="87">
        <v>0.26</v>
      </c>
      <c r="E14" s="93"/>
      <c r="F14" s="89"/>
    </row>
    <row r="15" spans="2:16" ht="18.600000000000001" customHeight="1" x14ac:dyDescent="0.35">
      <c r="B15" s="91"/>
      <c r="C15" s="86" t="s">
        <v>11</v>
      </c>
      <c r="D15" s="87">
        <v>0.26</v>
      </c>
      <c r="E15" s="93"/>
      <c r="F15" s="89"/>
      <c r="H15" s="25" t="s">
        <v>76</v>
      </c>
      <c r="I15" s="26" t="s">
        <v>77</v>
      </c>
      <c r="J15" s="26" t="s">
        <v>78</v>
      </c>
      <c r="K15" s="26" t="s">
        <v>5</v>
      </c>
      <c r="L15" s="27" t="s">
        <v>32</v>
      </c>
    </row>
    <row r="16" spans="2:16" ht="18.600000000000001" customHeight="1" x14ac:dyDescent="0.35">
      <c r="B16" s="91"/>
      <c r="C16" s="86" t="s">
        <v>12</v>
      </c>
      <c r="D16" s="87">
        <v>0.27</v>
      </c>
      <c r="E16" s="93"/>
      <c r="F16" s="89"/>
      <c r="H16" s="37" t="s">
        <v>75</v>
      </c>
      <c r="I16" s="28">
        <v>1.1599999999999999</v>
      </c>
      <c r="J16" s="29">
        <v>0.04</v>
      </c>
      <c r="K16" s="35">
        <v>0.08</v>
      </c>
      <c r="L16" s="30" t="s">
        <v>68</v>
      </c>
      <c r="M16" s="84" t="s">
        <v>70</v>
      </c>
    </row>
    <row r="17" spans="2:13" ht="18.600000000000001" customHeight="1" x14ac:dyDescent="0.35">
      <c r="B17" s="91">
        <v>2023</v>
      </c>
      <c r="C17" s="86" t="s">
        <v>9</v>
      </c>
      <c r="D17" s="87">
        <v>0.22</v>
      </c>
      <c r="E17" s="93">
        <f>SUM(D17:D20)</f>
        <v>0.98</v>
      </c>
      <c r="F17" s="89">
        <f>(E17-E21)/E21</f>
        <v>0.24050632911392397</v>
      </c>
      <c r="H17" s="37" t="s">
        <v>73</v>
      </c>
      <c r="I17" s="28">
        <v>1.1599999999999999</v>
      </c>
      <c r="J17" s="29">
        <v>0.04</v>
      </c>
      <c r="K17" s="35">
        <v>0.09</v>
      </c>
      <c r="L17" s="30" t="s">
        <v>69</v>
      </c>
      <c r="M17" s="85" t="s">
        <v>71</v>
      </c>
    </row>
    <row r="18" spans="2:13" ht="18.600000000000001" customHeight="1" thickBot="1" x14ac:dyDescent="0.4">
      <c r="B18" s="91"/>
      <c r="C18" s="86" t="s">
        <v>10</v>
      </c>
      <c r="D18" s="87">
        <v>0.25</v>
      </c>
      <c r="E18" s="93"/>
      <c r="F18" s="89"/>
      <c r="H18" s="38" t="s">
        <v>74</v>
      </c>
      <c r="I18" s="31">
        <v>1.1599999999999999</v>
      </c>
      <c r="J18" s="32">
        <v>0.04</v>
      </c>
      <c r="K18" s="36">
        <v>0.1</v>
      </c>
      <c r="L18" s="33" t="s">
        <v>31</v>
      </c>
      <c r="M18" s="85" t="s">
        <v>71</v>
      </c>
    </row>
    <row r="19" spans="2:13" ht="18.600000000000001" customHeight="1" x14ac:dyDescent="0.35">
      <c r="B19" s="91"/>
      <c r="C19" s="86" t="s">
        <v>11</v>
      </c>
      <c r="D19" s="87">
        <v>0.25</v>
      </c>
      <c r="E19" s="93"/>
      <c r="F19" s="89"/>
    </row>
    <row r="20" spans="2:13" ht="18.600000000000001" customHeight="1" x14ac:dyDescent="0.35">
      <c r="B20" s="91"/>
      <c r="C20" s="86" t="s">
        <v>12</v>
      </c>
      <c r="D20" s="87">
        <v>0.26</v>
      </c>
      <c r="E20" s="93"/>
      <c r="F20" s="89"/>
      <c r="H20" s="18" t="s">
        <v>27</v>
      </c>
    </row>
    <row r="21" spans="2:13" ht="18.600000000000001" customHeight="1" x14ac:dyDescent="0.35">
      <c r="B21" s="91">
        <v>2022</v>
      </c>
      <c r="C21" s="86" t="s">
        <v>9</v>
      </c>
      <c r="D21" s="87">
        <v>0.19</v>
      </c>
      <c r="E21" s="93">
        <f>SUM(D21:D24)</f>
        <v>0.79</v>
      </c>
      <c r="F21" s="89">
        <f>(E21-E25)/E25</f>
        <v>0.17910447761194048</v>
      </c>
    </row>
    <row r="22" spans="2:13" ht="18.600000000000001" customHeight="1" x14ac:dyDescent="0.35">
      <c r="B22" s="91"/>
      <c r="C22" s="86" t="s">
        <v>10</v>
      </c>
      <c r="D22" s="87">
        <v>0.19</v>
      </c>
      <c r="E22" s="93"/>
      <c r="F22" s="89"/>
      <c r="M22" s="12"/>
    </row>
    <row r="23" spans="2:13" ht="18.600000000000001" customHeight="1" x14ac:dyDescent="0.35">
      <c r="B23" s="91"/>
      <c r="C23" s="86" t="s">
        <v>11</v>
      </c>
      <c r="D23" s="87">
        <v>0.19</v>
      </c>
      <c r="E23" s="93"/>
      <c r="F23" s="89"/>
    </row>
    <row r="24" spans="2:13" ht="18.600000000000001" customHeight="1" x14ac:dyDescent="0.35">
      <c r="B24" s="91"/>
      <c r="C24" s="86" t="s">
        <v>12</v>
      </c>
      <c r="D24" s="87">
        <v>0.22</v>
      </c>
      <c r="E24" s="93"/>
      <c r="F24" s="89"/>
    </row>
    <row r="25" spans="2:13" ht="18.600000000000001" customHeight="1" thickBot="1" x14ac:dyDescent="0.4">
      <c r="B25" s="91">
        <v>2021</v>
      </c>
      <c r="C25" s="86" t="s">
        <v>9</v>
      </c>
      <c r="D25" s="87">
        <v>0.13</v>
      </c>
      <c r="E25" s="93">
        <f>SUM(D25:D28)</f>
        <v>0.66999999999999993</v>
      </c>
      <c r="F25" s="89">
        <f>(E25-E29)/E29</f>
        <v>0.33999999999999986</v>
      </c>
    </row>
    <row r="26" spans="2:13" ht="18.600000000000001" customHeight="1" x14ac:dyDescent="0.35">
      <c r="B26" s="91"/>
      <c r="C26" s="86" t="s">
        <v>10</v>
      </c>
      <c r="D26" s="87">
        <v>0.18</v>
      </c>
      <c r="E26" s="93"/>
      <c r="F26" s="89"/>
      <c r="H26" s="115" t="s">
        <v>16</v>
      </c>
      <c r="I26" s="116"/>
      <c r="J26" s="116"/>
      <c r="K26" s="116"/>
      <c r="L26" s="116"/>
      <c r="M26" s="117"/>
    </row>
    <row r="27" spans="2:13" ht="18.600000000000001" customHeight="1" x14ac:dyDescent="0.35">
      <c r="B27" s="91"/>
      <c r="C27" s="86" t="s">
        <v>11</v>
      </c>
      <c r="D27" s="87">
        <v>0.18</v>
      </c>
      <c r="E27" s="93"/>
      <c r="F27" s="89"/>
      <c r="H27" s="1"/>
      <c r="I27" s="19"/>
      <c r="J27" s="19"/>
      <c r="K27" s="19"/>
      <c r="L27" s="19"/>
      <c r="M27" s="20"/>
    </row>
    <row r="28" spans="2:13" ht="18.600000000000001" customHeight="1" x14ac:dyDescent="0.35">
      <c r="B28" s="91"/>
      <c r="C28" s="86" t="s">
        <v>12</v>
      </c>
      <c r="D28" s="87">
        <v>0.18</v>
      </c>
      <c r="E28" s="93"/>
      <c r="F28" s="89"/>
      <c r="H28" s="118" t="s">
        <v>79</v>
      </c>
      <c r="I28" s="119"/>
      <c r="J28" s="119"/>
      <c r="K28" s="119"/>
      <c r="L28" s="119"/>
      <c r="M28" s="120"/>
    </row>
    <row r="29" spans="2:13" ht="18.600000000000001" customHeight="1" x14ac:dyDescent="0.35">
      <c r="B29" s="91">
        <v>2020</v>
      </c>
      <c r="C29" s="86" t="s">
        <v>9</v>
      </c>
      <c r="D29" s="87">
        <v>0.12</v>
      </c>
      <c r="E29" s="93">
        <f>SUM(D29:D32)</f>
        <v>0.5</v>
      </c>
      <c r="F29" s="89">
        <f>(E29-E33)/E33</f>
        <v>-0.65277777777777779</v>
      </c>
      <c r="H29" s="1"/>
      <c r="I29" s="19"/>
      <c r="J29" s="19"/>
      <c r="K29" s="19"/>
      <c r="L29" s="19"/>
      <c r="M29" s="20"/>
    </row>
    <row r="30" spans="2:13" ht="18.600000000000001" customHeight="1" x14ac:dyDescent="0.35">
      <c r="B30" s="91"/>
      <c r="C30" s="86" t="s">
        <v>10</v>
      </c>
      <c r="D30" s="87">
        <v>0.12</v>
      </c>
      <c r="E30" s="93"/>
      <c r="F30" s="89"/>
      <c r="H30" s="118" t="s">
        <v>80</v>
      </c>
      <c r="I30" s="119"/>
      <c r="J30" s="119"/>
      <c r="K30" s="119"/>
      <c r="L30" s="119"/>
      <c r="M30" s="120"/>
    </row>
    <row r="31" spans="2:13" ht="18.600000000000001" customHeight="1" x14ac:dyDescent="0.35">
      <c r="B31" s="91"/>
      <c r="C31" s="86" t="s">
        <v>11</v>
      </c>
      <c r="D31" s="87">
        <v>0.13</v>
      </c>
      <c r="E31" s="93"/>
      <c r="F31" s="89"/>
      <c r="H31" s="1"/>
      <c r="I31" s="19"/>
      <c r="J31" s="19"/>
      <c r="K31" s="19"/>
      <c r="L31" s="19"/>
      <c r="M31" s="20"/>
    </row>
    <row r="32" spans="2:13" ht="18.600000000000001" customHeight="1" x14ac:dyDescent="0.35">
      <c r="B32" s="91"/>
      <c r="C32" s="86" t="s">
        <v>12</v>
      </c>
      <c r="D32" s="87">
        <v>0.13</v>
      </c>
      <c r="E32" s="93"/>
      <c r="F32" s="89"/>
      <c r="H32" s="118" t="s">
        <v>81</v>
      </c>
      <c r="I32" s="119"/>
      <c r="J32" s="119"/>
      <c r="K32" s="119"/>
      <c r="L32" s="119"/>
      <c r="M32" s="120"/>
    </row>
    <row r="33" spans="2:13" ht="18.600000000000001" customHeight="1" thickBot="1" x14ac:dyDescent="0.4">
      <c r="B33" s="91">
        <v>2019</v>
      </c>
      <c r="C33" s="86" t="s">
        <v>9</v>
      </c>
      <c r="D33" s="87">
        <v>0.36</v>
      </c>
      <c r="E33" s="93">
        <f>SUM(D33:D36)</f>
        <v>1.44</v>
      </c>
      <c r="F33" s="89">
        <f>(E33-E37)/E37</f>
        <v>0</v>
      </c>
      <c r="H33" s="111" t="s">
        <v>30</v>
      </c>
      <c r="I33" s="112"/>
      <c r="J33" s="112"/>
      <c r="K33" s="112"/>
      <c r="L33" s="112"/>
      <c r="M33" s="113"/>
    </row>
    <row r="34" spans="2:13" ht="18.600000000000001" customHeight="1" x14ac:dyDescent="0.35">
      <c r="B34" s="91"/>
      <c r="C34" s="86" t="s">
        <v>10</v>
      </c>
      <c r="D34" s="87">
        <v>0.36</v>
      </c>
      <c r="E34" s="93"/>
      <c r="F34" s="11"/>
    </row>
    <row r="35" spans="2:13" ht="18.600000000000001" customHeight="1" x14ac:dyDescent="0.35">
      <c r="B35" s="91"/>
      <c r="C35" s="86" t="s">
        <v>11</v>
      </c>
      <c r="D35" s="87">
        <v>0.36</v>
      </c>
      <c r="E35" s="93"/>
      <c r="F35" s="11"/>
    </row>
    <row r="36" spans="2:13" ht="18.600000000000001" customHeight="1" x14ac:dyDescent="0.35">
      <c r="B36" s="91"/>
      <c r="C36" s="86" t="s">
        <v>12</v>
      </c>
      <c r="D36" s="87">
        <v>0.36</v>
      </c>
      <c r="E36" s="93"/>
      <c r="F36" s="11"/>
    </row>
    <row r="37" spans="2:13" ht="18.600000000000001" customHeight="1" x14ac:dyDescent="0.35">
      <c r="B37" s="91">
        <v>2018</v>
      </c>
      <c r="C37" s="86" t="s">
        <v>9</v>
      </c>
      <c r="D37" s="87">
        <v>0.36</v>
      </c>
      <c r="E37" s="93">
        <f>SUM(D37:D40)</f>
        <v>1.44</v>
      </c>
      <c r="F37" s="90" t="s">
        <v>13</v>
      </c>
    </row>
    <row r="38" spans="2:13" ht="18" x14ac:dyDescent="0.35">
      <c r="B38" s="4"/>
      <c r="C38" s="86" t="s">
        <v>10</v>
      </c>
      <c r="D38" s="87">
        <v>0.36</v>
      </c>
      <c r="E38" s="87"/>
      <c r="F38" s="11"/>
    </row>
    <row r="39" spans="2:13" ht="18" x14ac:dyDescent="0.35">
      <c r="B39" s="4"/>
      <c r="C39" s="86" t="s">
        <v>11</v>
      </c>
      <c r="D39" s="87">
        <v>0.36</v>
      </c>
      <c r="E39" s="87"/>
      <c r="F39" s="11"/>
    </row>
    <row r="40" spans="2:13" ht="18.600000000000001" thickBot="1" x14ac:dyDescent="0.4">
      <c r="B40" s="5"/>
      <c r="C40" s="7" t="s">
        <v>12</v>
      </c>
      <c r="D40" s="6">
        <v>0.36</v>
      </c>
      <c r="E40" s="6"/>
      <c r="F40" s="10"/>
    </row>
  </sheetData>
  <mergeCells count="8">
    <mergeCell ref="B1:I1"/>
    <mergeCell ref="B2:I2"/>
    <mergeCell ref="H33:M33"/>
    <mergeCell ref="I12:L12"/>
    <mergeCell ref="H26:M26"/>
    <mergeCell ref="H28:M28"/>
    <mergeCell ref="H30:M30"/>
    <mergeCell ref="H32:M32"/>
  </mergeCells>
  <phoneticPr fontId="13" type="noConversion"/>
  <pageMargins left="0.7" right="0.7" top="0.75" bottom="0.75" header="0.3" footer="0.3"/>
  <ignoredErrors>
    <ignoredError sqref="E17 E13 E9 E5 E21 E29 E25 E33 E3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F1D6-7E80-41E0-850F-77E18A96EE9E}">
  <dimension ref="A1:Q25"/>
  <sheetViews>
    <sheetView zoomScale="84" workbookViewId="0">
      <selection sqref="A1:P25"/>
    </sheetView>
  </sheetViews>
  <sheetFormatPr defaultRowHeight="14.4" x14ac:dyDescent="0.3"/>
  <cols>
    <col min="1" max="1" width="47.33203125" bestFit="1" customWidth="1"/>
    <col min="2" max="2" width="11" bestFit="1" customWidth="1"/>
    <col min="3" max="3" width="12" customWidth="1"/>
    <col min="4" max="4" width="15.44140625" customWidth="1"/>
    <col min="5" max="5" width="11.21875" customWidth="1"/>
    <col min="6" max="6" width="10.77734375" customWidth="1"/>
    <col min="8" max="13" width="12" bestFit="1" customWidth="1"/>
    <col min="14" max="14" width="13.5546875" customWidth="1"/>
    <col min="15" max="15" width="17.109375" customWidth="1"/>
    <col min="16" max="16" width="24.88671875" customWidth="1"/>
  </cols>
  <sheetData>
    <row r="1" spans="1:17" ht="21.6" thickBot="1" x14ac:dyDescent="0.45">
      <c r="A1" s="83" t="s">
        <v>20</v>
      </c>
      <c r="B1" s="53"/>
      <c r="C1" s="53"/>
      <c r="D1" s="53"/>
      <c r="E1" s="53"/>
      <c r="F1" s="53"/>
      <c r="G1" s="53">
        <v>1</v>
      </c>
      <c r="H1" s="53">
        <v>2</v>
      </c>
      <c r="I1" s="53">
        <v>3</v>
      </c>
      <c r="J1" s="53">
        <v>4</v>
      </c>
      <c r="K1" s="53">
        <v>5</v>
      </c>
      <c r="L1" s="53">
        <v>6</v>
      </c>
      <c r="M1" s="53">
        <v>7</v>
      </c>
    </row>
    <row r="2" spans="1:17" ht="15" thickBot="1" x14ac:dyDescent="0.35">
      <c r="A2" s="49"/>
      <c r="B2" s="65" t="s">
        <v>34</v>
      </c>
      <c r="C2" s="66" t="s">
        <v>35</v>
      </c>
      <c r="D2" s="66" t="s">
        <v>36</v>
      </c>
      <c r="E2" s="66" t="s">
        <v>37</v>
      </c>
      <c r="F2" s="66" t="s">
        <v>38</v>
      </c>
      <c r="G2" s="66">
        <v>2025</v>
      </c>
      <c r="H2" s="66">
        <v>2026</v>
      </c>
      <c r="I2" s="66">
        <v>2027</v>
      </c>
      <c r="J2" s="66">
        <v>2028</v>
      </c>
      <c r="K2" s="66">
        <v>2029</v>
      </c>
      <c r="L2" s="66">
        <v>2030</v>
      </c>
      <c r="M2" s="67">
        <v>2031</v>
      </c>
    </row>
    <row r="3" spans="1:17" ht="15" thickBot="1" x14ac:dyDescent="0.35">
      <c r="A3" s="50" t="s">
        <v>39</v>
      </c>
      <c r="B3" s="68">
        <v>137.4</v>
      </c>
      <c r="C3" s="69">
        <v>204.5</v>
      </c>
      <c r="D3" s="69">
        <v>289.64999999999998</v>
      </c>
      <c r="E3" s="69">
        <v>242.39</v>
      </c>
      <c r="F3" s="69">
        <v>216.77</v>
      </c>
      <c r="G3" s="70">
        <v>222.3</v>
      </c>
      <c r="H3" s="69">
        <v>219.31</v>
      </c>
      <c r="I3" s="69">
        <v>216.32</v>
      </c>
      <c r="J3" s="69">
        <v>213.33</v>
      </c>
      <c r="K3" s="69">
        <v>210.34</v>
      </c>
      <c r="L3" s="70">
        <v>207.34</v>
      </c>
      <c r="M3" s="71">
        <v>204.35</v>
      </c>
    </row>
    <row r="4" spans="1:17" x14ac:dyDescent="0.3">
      <c r="A4" s="51" t="s">
        <v>40</v>
      </c>
      <c r="B4" s="73">
        <v>-17.16</v>
      </c>
      <c r="C4">
        <v>25.08</v>
      </c>
      <c r="D4" s="72">
        <v>51</v>
      </c>
      <c r="E4" s="72">
        <v>27.98</v>
      </c>
      <c r="F4" s="72">
        <v>26.03</v>
      </c>
      <c r="G4">
        <v>26.64</v>
      </c>
      <c r="H4">
        <v>25.19</v>
      </c>
      <c r="I4">
        <v>24.84</v>
      </c>
      <c r="J4">
        <v>23.65</v>
      </c>
      <c r="K4">
        <v>23.65</v>
      </c>
      <c r="L4">
        <v>22.58</v>
      </c>
      <c r="M4" s="2">
        <v>22.58</v>
      </c>
      <c r="O4" s="78" t="s">
        <v>56</v>
      </c>
      <c r="P4" s="77" t="s">
        <v>57</v>
      </c>
    </row>
    <row r="5" spans="1:17" ht="15" thickBot="1" x14ac:dyDescent="0.35">
      <c r="A5" s="52" t="s">
        <v>41</v>
      </c>
      <c r="B5" s="54">
        <f>B4/B3</f>
        <v>-0.12489082969432314</v>
      </c>
      <c r="C5" s="55">
        <f t="shared" ref="C5:M5" si="0">C4/C3</f>
        <v>0.12264058679706601</v>
      </c>
      <c r="D5" s="55">
        <f t="shared" si="0"/>
        <v>0.17607457276022787</v>
      </c>
      <c r="E5" s="55">
        <f t="shared" si="0"/>
        <v>0.11543380502495978</v>
      </c>
      <c r="F5" s="55">
        <f t="shared" si="0"/>
        <v>0.12008119204686996</v>
      </c>
      <c r="G5" s="55">
        <f t="shared" si="0"/>
        <v>0.11983805668016194</v>
      </c>
      <c r="H5" s="55">
        <f t="shared" si="0"/>
        <v>0.11486024349094889</v>
      </c>
      <c r="I5" s="55">
        <f t="shared" si="0"/>
        <v>0.11482988165680473</v>
      </c>
      <c r="J5" s="55">
        <f t="shared" si="0"/>
        <v>0.11086110720480007</v>
      </c>
      <c r="K5" s="55">
        <f t="shared" si="0"/>
        <v>0.11243700675097461</v>
      </c>
      <c r="L5" s="55">
        <f t="shared" si="0"/>
        <v>0.10890325069933442</v>
      </c>
      <c r="M5" s="56">
        <f t="shared" si="0"/>
        <v>0.1104966968436506</v>
      </c>
      <c r="O5" s="80" t="s">
        <v>5</v>
      </c>
      <c r="P5" s="103">
        <v>0.09</v>
      </c>
      <c r="Q5" s="76"/>
    </row>
    <row r="6" spans="1:17" ht="15" thickBot="1" x14ac:dyDescent="0.35">
      <c r="A6" s="51" t="s">
        <v>42</v>
      </c>
      <c r="B6" s="4">
        <v>0.2</v>
      </c>
      <c r="C6" s="57">
        <v>0.308</v>
      </c>
      <c r="D6">
        <v>0.33</v>
      </c>
      <c r="E6">
        <v>0.39900000000000002</v>
      </c>
      <c r="F6">
        <v>0.44800000000000001</v>
      </c>
      <c r="G6">
        <v>0.435</v>
      </c>
      <c r="H6">
        <v>0.42499999999999999</v>
      </c>
      <c r="I6">
        <v>0.42</v>
      </c>
      <c r="J6">
        <v>0.41499999999999998</v>
      </c>
      <c r="K6">
        <v>0.41</v>
      </c>
      <c r="L6">
        <v>0.38</v>
      </c>
      <c r="M6" s="2">
        <v>0.35</v>
      </c>
      <c r="O6" s="82" t="s">
        <v>65</v>
      </c>
      <c r="P6" s="104" t="s">
        <v>64</v>
      </c>
    </row>
    <row r="7" spans="1:17" ht="15" thickBot="1" x14ac:dyDescent="0.35">
      <c r="A7" s="44" t="s">
        <v>43</v>
      </c>
      <c r="B7" s="58">
        <f t="shared" ref="B7" si="1">B4*(1-B6)</f>
        <v>-13.728000000000002</v>
      </c>
      <c r="C7" s="43">
        <f>C4*(1-C6)</f>
        <v>17.355359999999997</v>
      </c>
      <c r="D7" s="43">
        <f t="shared" ref="D7:M7" si="2">D4*(1-D6)</f>
        <v>34.169999999999995</v>
      </c>
      <c r="E7" s="43">
        <f t="shared" si="2"/>
        <v>16.81598</v>
      </c>
      <c r="F7" s="43">
        <f t="shared" si="2"/>
        <v>14.368560000000002</v>
      </c>
      <c r="G7" s="43">
        <f t="shared" si="2"/>
        <v>15.051599999999999</v>
      </c>
      <c r="H7" s="43">
        <f t="shared" si="2"/>
        <v>14.484249999999999</v>
      </c>
      <c r="I7" s="43">
        <f t="shared" si="2"/>
        <v>14.407200000000001</v>
      </c>
      <c r="J7" s="43">
        <f t="shared" si="2"/>
        <v>13.835249999999998</v>
      </c>
      <c r="K7" s="43">
        <f t="shared" si="2"/>
        <v>13.953500000000002</v>
      </c>
      <c r="L7" s="43">
        <f t="shared" si="2"/>
        <v>13.999599999999999</v>
      </c>
      <c r="M7" s="59">
        <f t="shared" si="2"/>
        <v>14.677</v>
      </c>
      <c r="O7" s="46"/>
      <c r="P7" s="2"/>
    </row>
    <row r="8" spans="1:17" x14ac:dyDescent="0.3">
      <c r="A8" s="45" t="s">
        <v>50</v>
      </c>
      <c r="B8" s="4">
        <v>1.3</v>
      </c>
      <c r="C8">
        <v>1.0900000000000001</v>
      </c>
      <c r="D8">
        <v>0.98</v>
      </c>
      <c r="E8">
        <v>2.09</v>
      </c>
      <c r="F8">
        <v>2.0099999999999998</v>
      </c>
      <c r="G8">
        <v>1.99</v>
      </c>
      <c r="H8">
        <v>1.94</v>
      </c>
      <c r="I8">
        <v>1.87</v>
      </c>
      <c r="J8">
        <v>1.8</v>
      </c>
      <c r="K8">
        <v>1.73</v>
      </c>
      <c r="L8">
        <v>1.72</v>
      </c>
      <c r="M8" s="2">
        <v>1.71</v>
      </c>
      <c r="O8" s="100" t="s">
        <v>29</v>
      </c>
      <c r="P8" s="71"/>
    </row>
    <row r="9" spans="1:17" ht="15" thickBot="1" x14ac:dyDescent="0.35">
      <c r="A9" s="46" t="s">
        <v>51</v>
      </c>
      <c r="B9" s="4">
        <v>0.54</v>
      </c>
      <c r="C9">
        <v>0.26</v>
      </c>
      <c r="D9">
        <v>0.69</v>
      </c>
      <c r="E9">
        <v>0.95</v>
      </c>
      <c r="F9">
        <v>0.75</v>
      </c>
      <c r="G9">
        <v>0.71</v>
      </c>
      <c r="H9">
        <v>0.68</v>
      </c>
      <c r="I9">
        <v>0.65</v>
      </c>
      <c r="J9">
        <v>0.62</v>
      </c>
      <c r="K9">
        <v>0.59</v>
      </c>
      <c r="L9">
        <v>0.6</v>
      </c>
      <c r="M9" s="2">
        <v>0.62</v>
      </c>
      <c r="O9" s="80" t="s">
        <v>63</v>
      </c>
      <c r="P9" s="64"/>
    </row>
    <row r="10" spans="1:17" x14ac:dyDescent="0.3">
      <c r="A10" s="45" t="s">
        <v>52</v>
      </c>
      <c r="B10" s="58">
        <f>B7-B8+B9</f>
        <v>-14.488000000000003</v>
      </c>
      <c r="C10" s="43">
        <f t="shared" ref="C10:M10" si="3">C7-C8+C9</f>
        <v>16.525359999999999</v>
      </c>
      <c r="D10" s="41">
        <f t="shared" si="3"/>
        <v>33.879999999999995</v>
      </c>
      <c r="E10" s="43">
        <f t="shared" si="3"/>
        <v>15.675979999999999</v>
      </c>
      <c r="F10" s="43">
        <f t="shared" si="3"/>
        <v>13.108560000000002</v>
      </c>
      <c r="G10" s="43">
        <f t="shared" si="3"/>
        <v>13.771599999999999</v>
      </c>
      <c r="H10" s="43">
        <f t="shared" si="3"/>
        <v>13.22425</v>
      </c>
      <c r="I10" s="43">
        <f t="shared" si="3"/>
        <v>13.187200000000002</v>
      </c>
      <c r="J10" s="43">
        <f t="shared" si="3"/>
        <v>12.655249999999997</v>
      </c>
      <c r="K10" s="43">
        <f t="shared" si="3"/>
        <v>12.813500000000001</v>
      </c>
      <c r="L10" s="43">
        <f t="shared" si="3"/>
        <v>12.879599999999998</v>
      </c>
      <c r="M10" s="59">
        <f t="shared" si="3"/>
        <v>13.586999999999998</v>
      </c>
    </row>
    <row r="11" spans="1:17" x14ac:dyDescent="0.3">
      <c r="A11" s="47" t="s">
        <v>53</v>
      </c>
      <c r="B11" s="4">
        <v>135.13</v>
      </c>
      <c r="C11">
        <v>141.27000000000001</v>
      </c>
      <c r="D11">
        <v>144.44999999999999</v>
      </c>
      <c r="E11" s="57">
        <v>131.5</v>
      </c>
      <c r="F11">
        <v>118.91</v>
      </c>
      <c r="G11" s="57">
        <v>113</v>
      </c>
      <c r="H11" s="57">
        <v>108</v>
      </c>
      <c r="I11" s="57">
        <v>104</v>
      </c>
      <c r="J11" s="57">
        <v>101</v>
      </c>
      <c r="K11" s="57">
        <v>99</v>
      </c>
      <c r="L11" s="57">
        <v>98</v>
      </c>
      <c r="M11" s="60">
        <v>98</v>
      </c>
    </row>
    <row r="12" spans="1:17" x14ac:dyDescent="0.3">
      <c r="A12" s="45" t="s">
        <v>54</v>
      </c>
      <c r="B12" s="61">
        <f>B11*9%</f>
        <v>12.1617</v>
      </c>
      <c r="C12" s="62">
        <f t="shared" ref="C12:M12" si="4">C11*9%</f>
        <v>12.7143</v>
      </c>
      <c r="D12" s="62">
        <f t="shared" si="4"/>
        <v>13.000499999999999</v>
      </c>
      <c r="E12" s="62">
        <f t="shared" si="4"/>
        <v>11.834999999999999</v>
      </c>
      <c r="F12" s="62">
        <f t="shared" si="4"/>
        <v>10.701899999999998</v>
      </c>
      <c r="G12" s="62">
        <f t="shared" si="4"/>
        <v>10.17</v>
      </c>
      <c r="H12" s="62">
        <f t="shared" si="4"/>
        <v>9.7199999999999989</v>
      </c>
      <c r="I12" s="62">
        <f t="shared" si="4"/>
        <v>9.36</v>
      </c>
      <c r="J12" s="62">
        <f t="shared" si="4"/>
        <v>9.09</v>
      </c>
      <c r="K12" s="62">
        <f t="shared" si="4"/>
        <v>8.91</v>
      </c>
      <c r="L12" s="62">
        <f t="shared" si="4"/>
        <v>8.82</v>
      </c>
      <c r="M12" s="63">
        <f t="shared" si="4"/>
        <v>8.82</v>
      </c>
    </row>
    <row r="13" spans="1:17" x14ac:dyDescent="0.3">
      <c r="A13" s="47" t="s">
        <v>58</v>
      </c>
      <c r="B13" s="61">
        <f>B10-B12</f>
        <v>-26.649700000000003</v>
      </c>
      <c r="C13" s="62">
        <f>C10-C12</f>
        <v>3.8110599999999994</v>
      </c>
      <c r="D13" s="62">
        <f t="shared" ref="D13:M13" si="5">D10-D12</f>
        <v>20.879499999999997</v>
      </c>
      <c r="E13" s="62">
        <f t="shared" si="5"/>
        <v>3.8409800000000001</v>
      </c>
      <c r="F13" s="62">
        <f t="shared" si="5"/>
        <v>2.406660000000004</v>
      </c>
      <c r="G13" s="62">
        <f t="shared" si="5"/>
        <v>3.6015999999999995</v>
      </c>
      <c r="H13" s="62">
        <f t="shared" si="5"/>
        <v>3.5042500000000008</v>
      </c>
      <c r="I13" s="62">
        <f t="shared" si="5"/>
        <v>3.827200000000003</v>
      </c>
      <c r="J13" s="62">
        <f t="shared" si="5"/>
        <v>3.5652499999999971</v>
      </c>
      <c r="K13" s="62">
        <f t="shared" si="5"/>
        <v>3.9035000000000011</v>
      </c>
      <c r="L13" s="62">
        <f t="shared" si="5"/>
        <v>4.0595999999999979</v>
      </c>
      <c r="M13" s="63">
        <f t="shared" si="5"/>
        <v>4.7669999999999977</v>
      </c>
    </row>
    <row r="14" spans="1:17" ht="15" thickBot="1" x14ac:dyDescent="0.35">
      <c r="A14" s="47" t="s">
        <v>55</v>
      </c>
      <c r="B14" s="61">
        <v>1</v>
      </c>
      <c r="C14" s="62">
        <v>1</v>
      </c>
      <c r="D14" s="62">
        <v>1</v>
      </c>
      <c r="E14" s="62">
        <v>1</v>
      </c>
      <c r="F14" s="62">
        <v>1</v>
      </c>
      <c r="G14" s="62">
        <v>1</v>
      </c>
      <c r="H14">
        <v>0.91700000000000004</v>
      </c>
      <c r="I14">
        <v>0.84099999999999997</v>
      </c>
      <c r="J14">
        <v>0.77200000000000002</v>
      </c>
      <c r="K14">
        <v>0.70799999999999996</v>
      </c>
      <c r="L14">
        <v>0.65</v>
      </c>
      <c r="M14" s="2">
        <f>(1/(0.09-0.04))*0.65</f>
        <v>13</v>
      </c>
    </row>
    <row r="15" spans="1:17" ht="15" thickBot="1" x14ac:dyDescent="0.35">
      <c r="A15" s="48" t="s">
        <v>44</v>
      </c>
      <c r="B15" s="3">
        <f>B13*B14</f>
        <v>-26.649700000000003</v>
      </c>
      <c r="C15" s="94">
        <f t="shared" ref="C15:H15" si="6">C13*C14</f>
        <v>3.8110599999999994</v>
      </c>
      <c r="D15" s="94">
        <f t="shared" si="6"/>
        <v>20.879499999999997</v>
      </c>
      <c r="E15" s="94">
        <f t="shared" si="6"/>
        <v>3.8409800000000001</v>
      </c>
      <c r="F15" s="94">
        <f t="shared" si="6"/>
        <v>2.406660000000004</v>
      </c>
      <c r="G15" s="94">
        <f t="shared" si="6"/>
        <v>3.6015999999999995</v>
      </c>
      <c r="H15" s="94">
        <f t="shared" si="6"/>
        <v>3.2133972500000008</v>
      </c>
      <c r="I15" s="94">
        <f>I13*I14</f>
        <v>3.2186752000000025</v>
      </c>
      <c r="J15" s="94">
        <f>J13*J14</f>
        <v>2.7523729999999977</v>
      </c>
      <c r="K15" s="94">
        <f>K13*K14</f>
        <v>2.7636780000000005</v>
      </c>
      <c r="L15" s="94">
        <f>L13*L14</f>
        <v>2.6387399999999985</v>
      </c>
      <c r="M15" s="95">
        <f>M13*M14</f>
        <v>61.970999999999968</v>
      </c>
      <c r="N15" s="96" t="s">
        <v>28</v>
      </c>
    </row>
    <row r="17" spans="1:3" ht="15" thickBot="1" x14ac:dyDescent="0.35"/>
    <row r="18" spans="1:3" x14ac:dyDescent="0.3">
      <c r="A18" s="68" t="s">
        <v>44</v>
      </c>
      <c r="B18" s="74">
        <f>SUM(B15:M15)</f>
        <v>84.447963449999975</v>
      </c>
    </row>
    <row r="19" spans="1:3" x14ac:dyDescent="0.3">
      <c r="A19" s="4" t="s">
        <v>45</v>
      </c>
      <c r="B19" s="46">
        <v>133.72999999999999</v>
      </c>
    </row>
    <row r="20" spans="1:3" x14ac:dyDescent="0.3">
      <c r="A20" s="4" t="s">
        <v>46</v>
      </c>
      <c r="B20" s="75">
        <f>B19+B18</f>
        <v>218.17796344999996</v>
      </c>
    </row>
    <row r="21" spans="1:3" x14ac:dyDescent="0.3">
      <c r="A21" s="4" t="s">
        <v>61</v>
      </c>
      <c r="B21" s="46">
        <v>6.08</v>
      </c>
    </row>
    <row r="22" spans="1:3" x14ac:dyDescent="0.3">
      <c r="A22" s="4" t="s">
        <v>47</v>
      </c>
      <c r="B22" s="46">
        <f>B20/B21</f>
        <v>35.884533462171049</v>
      </c>
    </row>
    <row r="23" spans="1:3" x14ac:dyDescent="0.3">
      <c r="A23" s="4" t="s">
        <v>48</v>
      </c>
      <c r="B23" s="46">
        <v>27.05</v>
      </c>
      <c r="C23" t="s">
        <v>62</v>
      </c>
    </row>
    <row r="24" spans="1:3" ht="15" thickBot="1" x14ac:dyDescent="0.35">
      <c r="A24" s="1" t="s">
        <v>66</v>
      </c>
      <c r="B24" s="79">
        <f>B23*B21</f>
        <v>164.464</v>
      </c>
    </row>
    <row r="25" spans="1:3" ht="15" thickBot="1" x14ac:dyDescent="0.35">
      <c r="A25" s="99" t="s">
        <v>26</v>
      </c>
      <c r="B25" s="97" t="s">
        <v>49</v>
      </c>
      <c r="C25" s="98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9535-0534-4E93-AB03-BAC26754795A}">
  <dimension ref="A1:S42"/>
  <sheetViews>
    <sheetView zoomScale="64" zoomScaleNormal="60" workbookViewId="0">
      <selection activeCell="W27" sqref="W27"/>
    </sheetView>
  </sheetViews>
  <sheetFormatPr defaultRowHeight="14.4" x14ac:dyDescent="0.3"/>
  <sheetData>
    <row r="1" spans="1:19" ht="14.4" customHeight="1" x14ac:dyDescent="0.3">
      <c r="A1" s="129" t="s">
        <v>82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</row>
    <row r="2" spans="1:19" ht="15" customHeight="1" thickBot="1" x14ac:dyDescent="0.35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x14ac:dyDescent="0.3">
      <c r="J3" s="100"/>
      <c r="K3" s="69"/>
      <c r="L3" s="69"/>
      <c r="M3" s="69"/>
      <c r="N3" s="69"/>
      <c r="O3" s="69"/>
      <c r="P3" s="69"/>
      <c r="Q3" s="69"/>
      <c r="R3" s="69"/>
      <c r="S3" s="71"/>
    </row>
    <row r="4" spans="1:19" x14ac:dyDescent="0.3">
      <c r="J4" s="46"/>
      <c r="K4" s="123"/>
      <c r="L4" s="123"/>
      <c r="M4" s="123"/>
      <c r="N4" s="123"/>
      <c r="O4" s="123"/>
      <c r="P4" s="123"/>
      <c r="Q4" s="123"/>
      <c r="R4" s="123"/>
      <c r="S4" s="2"/>
    </row>
    <row r="5" spans="1:19" x14ac:dyDescent="0.3">
      <c r="J5" s="46"/>
      <c r="K5" s="123"/>
      <c r="L5" s="123"/>
      <c r="M5" s="123"/>
      <c r="N5" s="123"/>
      <c r="O5" s="123"/>
      <c r="P5" s="123"/>
      <c r="Q5" s="123"/>
      <c r="R5" s="123"/>
      <c r="S5" s="2"/>
    </row>
    <row r="6" spans="1:19" x14ac:dyDescent="0.3">
      <c r="J6" s="46"/>
      <c r="K6" s="123"/>
      <c r="L6" s="123"/>
      <c r="M6" s="123"/>
      <c r="N6" s="123"/>
      <c r="O6" s="123"/>
      <c r="P6" s="123"/>
      <c r="Q6" s="123"/>
      <c r="R6" s="123"/>
      <c r="S6" s="2"/>
    </row>
    <row r="7" spans="1:19" x14ac:dyDescent="0.3">
      <c r="J7" s="46"/>
      <c r="K7" s="123"/>
      <c r="L7" s="123"/>
      <c r="M7" s="123"/>
      <c r="N7" s="123"/>
      <c r="O7" s="123"/>
      <c r="P7" s="123"/>
      <c r="Q7" s="123"/>
      <c r="R7" s="123"/>
      <c r="S7" s="2"/>
    </row>
    <row r="8" spans="1:19" x14ac:dyDescent="0.3">
      <c r="J8" s="46"/>
      <c r="K8" s="123"/>
      <c r="L8" s="123"/>
      <c r="M8" s="123"/>
      <c r="N8" s="123"/>
      <c r="O8" s="123"/>
      <c r="P8" s="123"/>
      <c r="Q8" s="123"/>
      <c r="R8" s="123"/>
      <c r="S8" s="2"/>
    </row>
    <row r="9" spans="1:19" x14ac:dyDescent="0.3">
      <c r="J9" s="46"/>
      <c r="K9" s="123"/>
      <c r="L9" s="123"/>
      <c r="M9" s="123"/>
      <c r="N9" s="123"/>
      <c r="O9" s="123"/>
      <c r="P9" s="123"/>
      <c r="Q9" s="123"/>
      <c r="R9" s="123"/>
      <c r="S9" s="2"/>
    </row>
    <row r="10" spans="1:19" x14ac:dyDescent="0.3">
      <c r="J10" s="46"/>
      <c r="K10" s="123"/>
      <c r="L10" s="123"/>
      <c r="M10" s="123"/>
      <c r="N10" s="123"/>
      <c r="O10" s="123"/>
      <c r="P10" s="123"/>
      <c r="Q10" s="123"/>
      <c r="R10" s="123"/>
      <c r="S10" s="2"/>
    </row>
    <row r="11" spans="1:19" x14ac:dyDescent="0.3">
      <c r="J11" s="46"/>
      <c r="K11" s="123"/>
      <c r="L11" s="123"/>
      <c r="M11" s="123"/>
      <c r="N11" s="123"/>
      <c r="O11" s="123"/>
      <c r="P11" s="123"/>
      <c r="Q11" s="123"/>
      <c r="R11" s="123"/>
      <c r="S11" s="2"/>
    </row>
    <row r="12" spans="1:19" x14ac:dyDescent="0.3">
      <c r="J12" s="46"/>
      <c r="K12" s="123"/>
      <c r="L12" s="123"/>
      <c r="M12" s="123"/>
      <c r="N12" s="123"/>
      <c r="O12" s="123"/>
      <c r="P12" s="123"/>
      <c r="Q12" s="123"/>
      <c r="R12" s="123"/>
      <c r="S12" s="2"/>
    </row>
    <row r="13" spans="1:19" x14ac:dyDescent="0.3">
      <c r="J13" s="46"/>
      <c r="K13" s="123"/>
      <c r="L13" s="123"/>
      <c r="M13" s="123"/>
      <c r="N13" s="123"/>
      <c r="O13" s="123"/>
      <c r="P13" s="123"/>
      <c r="Q13" s="123"/>
      <c r="R13" s="123"/>
      <c r="S13" s="2"/>
    </row>
    <row r="14" spans="1:19" x14ac:dyDescent="0.3">
      <c r="J14" s="46"/>
      <c r="K14" s="123"/>
      <c r="L14" s="123"/>
      <c r="M14" s="123"/>
      <c r="N14" s="123"/>
      <c r="O14" s="123"/>
      <c r="P14" s="123"/>
      <c r="Q14" s="123"/>
      <c r="R14" s="123"/>
      <c r="S14" s="2"/>
    </row>
    <row r="15" spans="1:19" x14ac:dyDescent="0.3">
      <c r="J15" s="46"/>
      <c r="K15" s="123"/>
      <c r="L15" s="123"/>
      <c r="M15" s="123"/>
      <c r="N15" s="123"/>
      <c r="O15" s="123"/>
      <c r="P15" s="123"/>
      <c r="Q15" s="123"/>
      <c r="R15" s="123"/>
      <c r="S15" s="2"/>
    </row>
    <row r="16" spans="1:19" x14ac:dyDescent="0.3">
      <c r="J16" s="46"/>
      <c r="K16" s="123"/>
      <c r="L16" s="123"/>
      <c r="M16" s="123"/>
      <c r="N16" s="123"/>
      <c r="O16" s="123"/>
      <c r="P16" s="123"/>
      <c r="Q16" s="123"/>
      <c r="R16" s="123"/>
      <c r="S16" s="2"/>
    </row>
    <row r="17" spans="1:19" x14ac:dyDescent="0.3">
      <c r="J17" s="46"/>
      <c r="K17" s="123"/>
      <c r="L17" s="123"/>
      <c r="M17" s="123"/>
      <c r="N17" s="123"/>
      <c r="O17" s="123"/>
      <c r="P17" s="123"/>
      <c r="Q17" s="123"/>
      <c r="R17" s="123"/>
      <c r="S17" s="2"/>
    </row>
    <row r="18" spans="1:19" x14ac:dyDescent="0.3">
      <c r="J18" s="46"/>
      <c r="K18" s="123"/>
      <c r="L18" s="123"/>
      <c r="M18" s="123"/>
      <c r="N18" s="123"/>
      <c r="O18" s="123"/>
      <c r="P18" s="123"/>
      <c r="Q18" s="123"/>
      <c r="R18" s="123"/>
      <c r="S18" s="2"/>
    </row>
    <row r="19" spans="1:19" ht="15" thickBot="1" x14ac:dyDescent="0.35">
      <c r="J19" s="46"/>
      <c r="K19" s="123"/>
      <c r="L19" s="123"/>
      <c r="M19" s="123"/>
      <c r="N19" s="123"/>
      <c r="O19" s="123"/>
      <c r="P19" s="123"/>
      <c r="Q19" s="123"/>
      <c r="R19" s="123"/>
      <c r="S19" s="2"/>
    </row>
    <row r="20" spans="1:19" ht="15" thickBot="1" x14ac:dyDescent="0.35">
      <c r="I20" s="99"/>
      <c r="J20" s="125"/>
      <c r="K20" s="126"/>
      <c r="L20" s="126"/>
      <c r="M20" s="126"/>
      <c r="N20" s="126"/>
      <c r="O20" s="126"/>
      <c r="P20" s="126"/>
      <c r="Q20" s="126"/>
      <c r="R20" s="126"/>
      <c r="S20" s="127"/>
    </row>
    <row r="21" spans="1:19" x14ac:dyDescent="0.3">
      <c r="A21" s="68"/>
      <c r="B21" s="69"/>
      <c r="C21" s="69"/>
      <c r="D21" s="69"/>
      <c r="E21" s="69"/>
      <c r="F21" s="69"/>
      <c r="G21" s="69"/>
      <c r="H21" s="71"/>
      <c r="I21" s="71"/>
      <c r="S21" s="100"/>
    </row>
    <row r="22" spans="1:19" x14ac:dyDescent="0.3">
      <c r="A22" s="4"/>
      <c r="B22" s="123"/>
      <c r="C22" s="123"/>
      <c r="D22" s="123"/>
      <c r="E22" s="123"/>
      <c r="F22" s="123"/>
      <c r="G22" s="123"/>
      <c r="H22" s="2"/>
      <c r="I22" s="2"/>
      <c r="S22" s="46"/>
    </row>
    <row r="23" spans="1:19" x14ac:dyDescent="0.3">
      <c r="A23" s="4"/>
      <c r="B23" s="123"/>
      <c r="C23" s="123"/>
      <c r="D23" s="123"/>
      <c r="E23" s="123"/>
      <c r="F23" s="123"/>
      <c r="G23" s="123"/>
      <c r="H23" s="2"/>
      <c r="I23" s="2"/>
      <c r="S23" s="46"/>
    </row>
    <row r="24" spans="1:19" x14ac:dyDescent="0.3">
      <c r="A24" s="4"/>
      <c r="B24" s="123"/>
      <c r="C24" s="123"/>
      <c r="D24" s="123"/>
      <c r="E24" s="123"/>
      <c r="F24" s="123"/>
      <c r="G24" s="123"/>
      <c r="H24" s="2"/>
      <c r="I24" s="2"/>
      <c r="S24" s="46"/>
    </row>
    <row r="25" spans="1:19" x14ac:dyDescent="0.3">
      <c r="A25" s="4"/>
      <c r="B25" s="123"/>
      <c r="C25" s="123"/>
      <c r="D25" s="123"/>
      <c r="E25" s="123"/>
      <c r="F25" s="123"/>
      <c r="G25" s="123"/>
      <c r="H25" s="2"/>
      <c r="I25" s="2"/>
      <c r="S25" s="46"/>
    </row>
    <row r="26" spans="1:19" x14ac:dyDescent="0.3">
      <c r="A26" s="4"/>
      <c r="B26" s="123"/>
      <c r="C26" s="123"/>
      <c r="D26" s="123"/>
      <c r="E26" s="123"/>
      <c r="F26" s="123"/>
      <c r="G26" s="123"/>
      <c r="H26" s="2"/>
      <c r="I26" s="2"/>
      <c r="S26" s="46"/>
    </row>
    <row r="27" spans="1:19" x14ac:dyDescent="0.3">
      <c r="A27" s="4"/>
      <c r="B27" s="123"/>
      <c r="C27" s="123"/>
      <c r="D27" s="123"/>
      <c r="E27" s="123"/>
      <c r="F27" s="123"/>
      <c r="G27" s="123"/>
      <c r="H27" s="2"/>
      <c r="I27" s="2"/>
      <c r="S27" s="46"/>
    </row>
    <row r="28" spans="1:19" x14ac:dyDescent="0.3">
      <c r="A28" s="4"/>
      <c r="B28" s="123"/>
      <c r="C28" s="123"/>
      <c r="D28" s="123"/>
      <c r="E28" s="123"/>
      <c r="F28" s="123"/>
      <c r="G28" s="123"/>
      <c r="H28" s="2"/>
      <c r="I28" s="2"/>
      <c r="S28" s="46"/>
    </row>
    <row r="29" spans="1:19" x14ac:dyDescent="0.3">
      <c r="A29" s="4"/>
      <c r="B29" s="123"/>
      <c r="C29" s="123"/>
      <c r="D29" s="123"/>
      <c r="E29" s="123"/>
      <c r="F29" s="123"/>
      <c r="G29" s="123"/>
      <c r="H29" s="2"/>
      <c r="I29" s="2"/>
      <c r="S29" s="46"/>
    </row>
    <row r="30" spans="1:19" x14ac:dyDescent="0.3">
      <c r="A30" s="4"/>
      <c r="B30" s="123"/>
      <c r="C30" s="123"/>
      <c r="D30" s="123"/>
      <c r="E30" s="123"/>
      <c r="F30" s="123"/>
      <c r="G30" s="123"/>
      <c r="H30" s="2"/>
      <c r="I30" s="2"/>
      <c r="S30" s="46"/>
    </row>
    <row r="31" spans="1:19" x14ac:dyDescent="0.3">
      <c r="A31" s="4"/>
      <c r="B31" s="123"/>
      <c r="C31" s="123"/>
      <c r="D31" s="123"/>
      <c r="E31" s="123"/>
      <c r="F31" s="123"/>
      <c r="G31" s="123"/>
      <c r="H31" s="2"/>
      <c r="I31" s="2"/>
      <c r="S31" s="46"/>
    </row>
    <row r="32" spans="1:19" x14ac:dyDescent="0.3">
      <c r="A32" s="4"/>
      <c r="B32" s="123"/>
      <c r="C32" s="123"/>
      <c r="D32" s="123"/>
      <c r="E32" s="123"/>
      <c r="F32" s="123"/>
      <c r="G32" s="123"/>
      <c r="H32" s="2"/>
      <c r="I32" s="2"/>
      <c r="S32" s="46"/>
    </row>
    <row r="33" spans="1:19" x14ac:dyDescent="0.3">
      <c r="A33" s="4"/>
      <c r="B33" s="123"/>
      <c r="C33" s="123"/>
      <c r="D33" s="123"/>
      <c r="E33" s="123"/>
      <c r="F33" s="123"/>
      <c r="G33" s="123"/>
      <c r="H33" s="2"/>
      <c r="I33" s="2"/>
      <c r="S33" s="46"/>
    </row>
    <row r="34" spans="1:19" x14ac:dyDescent="0.3">
      <c r="A34" s="4"/>
      <c r="B34" s="123"/>
      <c r="C34" s="123"/>
      <c r="D34" s="123"/>
      <c r="E34" s="123"/>
      <c r="F34" s="123"/>
      <c r="G34" s="123"/>
      <c r="H34" s="2"/>
      <c r="I34" s="2"/>
      <c r="S34" s="46"/>
    </row>
    <row r="35" spans="1:19" x14ac:dyDescent="0.3">
      <c r="A35" s="4"/>
      <c r="B35" s="123"/>
      <c r="C35" s="123"/>
      <c r="D35" s="123"/>
      <c r="E35" s="123"/>
      <c r="F35" s="123"/>
      <c r="G35" s="123"/>
      <c r="H35" s="2"/>
      <c r="I35" s="2"/>
      <c r="S35" s="46"/>
    </row>
    <row r="36" spans="1:19" x14ac:dyDescent="0.3">
      <c r="A36" s="4"/>
      <c r="B36" s="123"/>
      <c r="C36" s="123"/>
      <c r="D36" s="123"/>
      <c r="E36" s="123"/>
      <c r="F36" s="123"/>
      <c r="G36" s="123"/>
      <c r="H36" s="2"/>
      <c r="I36" s="2"/>
      <c r="S36" s="46"/>
    </row>
    <row r="37" spans="1:19" x14ac:dyDescent="0.3">
      <c r="A37" s="4"/>
      <c r="B37" s="123"/>
      <c r="C37" s="123"/>
      <c r="D37" s="123"/>
      <c r="E37" s="123"/>
      <c r="F37" s="123"/>
      <c r="G37" s="123"/>
      <c r="H37" s="2"/>
      <c r="I37" s="2"/>
      <c r="S37" s="46"/>
    </row>
    <row r="38" spans="1:19" x14ac:dyDescent="0.3">
      <c r="A38" s="4"/>
      <c r="B38" s="123"/>
      <c r="C38" s="123"/>
      <c r="D38" s="123"/>
      <c r="E38" s="123"/>
      <c r="F38" s="123"/>
      <c r="G38" s="123"/>
      <c r="H38" s="2"/>
      <c r="I38" s="2"/>
      <c r="S38" s="46"/>
    </row>
    <row r="39" spans="1:19" x14ac:dyDescent="0.3">
      <c r="A39" s="4"/>
      <c r="B39" s="123"/>
      <c r="C39" s="123"/>
      <c r="D39" s="123"/>
      <c r="E39" s="123"/>
      <c r="F39" s="123"/>
      <c r="G39" s="123"/>
      <c r="H39" s="2"/>
      <c r="I39" s="2"/>
      <c r="S39" s="46"/>
    </row>
    <row r="40" spans="1:19" ht="15" thickBot="1" x14ac:dyDescent="0.35">
      <c r="A40" s="5"/>
      <c r="B40" s="124"/>
      <c r="C40" s="124"/>
      <c r="D40" s="124"/>
      <c r="E40" s="124"/>
      <c r="F40" s="124"/>
      <c r="G40" s="124"/>
      <c r="H40" s="64"/>
      <c r="I40" s="2"/>
      <c r="S40" s="46"/>
    </row>
    <row r="41" spans="1:19" ht="15" thickBot="1" x14ac:dyDescent="0.35">
      <c r="A41" s="4"/>
      <c r="B41" s="123"/>
      <c r="C41" s="123"/>
      <c r="D41" s="123"/>
      <c r="E41" s="123"/>
      <c r="F41" s="123"/>
      <c r="G41" s="123"/>
      <c r="H41" s="2"/>
      <c r="I41" s="125"/>
      <c r="J41" s="126"/>
      <c r="K41" s="126"/>
      <c r="L41" s="126"/>
      <c r="M41" s="126"/>
      <c r="N41" s="126"/>
      <c r="O41" s="126"/>
      <c r="P41" s="126"/>
      <c r="Q41" s="126"/>
      <c r="R41" s="126"/>
      <c r="S41" s="99"/>
    </row>
    <row r="42" spans="1:19" ht="15" thickBot="1" x14ac:dyDescent="0.35">
      <c r="A42" s="5"/>
      <c r="B42" s="124"/>
      <c r="C42" s="124"/>
      <c r="D42" s="124"/>
      <c r="E42" s="124"/>
      <c r="F42" s="124"/>
      <c r="G42" s="124"/>
      <c r="H42" s="64"/>
    </row>
  </sheetData>
  <mergeCells count="1">
    <mergeCell ref="A1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Dividend Discount Model</vt:lpstr>
      <vt:lpstr>Residual Income Model</vt:lpstr>
      <vt:lpstr>RIM Analysis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Tripathi</dc:creator>
  <cp:lastModifiedBy>Rishabh Tripathi (MSc Investments FT)</cp:lastModifiedBy>
  <dcterms:created xsi:type="dcterms:W3CDTF">2015-06-05T18:17:20Z</dcterms:created>
  <dcterms:modified xsi:type="dcterms:W3CDTF">2026-01-31T12:52:11Z</dcterms:modified>
</cp:coreProperties>
</file>